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defaultThemeVersion="124226"/>
  <bookViews>
    <workbookView xWindow="360" yWindow="210" windowWidth="15075" windowHeight="11760"/>
  </bookViews>
  <sheets>
    <sheet name="중첩함수" sheetId="4" r:id="rId1"/>
  </sheets>
  <definedNames>
    <definedName name="문구명">#REF!</definedName>
    <definedName name="통신요금평균">#REF!</definedName>
    <definedName name="할인율">#REF!</definedName>
  </definedNames>
  <calcPr calcId="145621"/>
</workbook>
</file>

<file path=xl/calcChain.xml><?xml version="1.0" encoding="utf-8"?>
<calcChain xmlns="http://schemas.openxmlformats.org/spreadsheetml/2006/main">
  <c r="E11" i="4" l="1"/>
  <c r="E10" i="4"/>
  <c r="E9" i="4"/>
  <c r="E8" i="4"/>
  <c r="E7" i="4"/>
  <c r="E6" i="4"/>
  <c r="E5" i="4"/>
  <c r="E4" i="4"/>
  <c r="E3" i="4"/>
  <c r="F40" i="4"/>
  <c r="E40" i="4"/>
  <c r="F39" i="4"/>
  <c r="E39" i="4"/>
  <c r="F38" i="4"/>
  <c r="E38" i="4"/>
  <c r="F37" i="4"/>
  <c r="E37" i="4"/>
  <c r="F36" i="4"/>
  <c r="E36" i="4"/>
  <c r="F35" i="4"/>
  <c r="E35" i="4"/>
  <c r="F34" i="4"/>
  <c r="E34" i="4"/>
  <c r="F33" i="4"/>
  <c r="E33" i="4"/>
  <c r="F32" i="4"/>
  <c r="E32" i="4"/>
  <c r="F31" i="4"/>
  <c r="E31" i="4"/>
</calcChain>
</file>

<file path=xl/sharedStrings.xml><?xml version="1.0" encoding="utf-8"?>
<sst xmlns="http://schemas.openxmlformats.org/spreadsheetml/2006/main" count="119" uniqueCount="93">
  <si>
    <t>[표3]</t>
    <phoneticPr fontId="1" type="noConversion"/>
  </si>
  <si>
    <t>제품판매현황</t>
    <phoneticPr fontId="1" type="noConversion"/>
  </si>
  <si>
    <t>제품명</t>
    <phoneticPr fontId="1" type="noConversion"/>
  </si>
  <si>
    <t>대리점</t>
    <phoneticPr fontId="3" type="noConversion"/>
  </si>
  <si>
    <t>판매량</t>
    <phoneticPr fontId="3" type="noConversion"/>
  </si>
  <si>
    <t>재고량</t>
    <phoneticPr fontId="1" type="noConversion"/>
  </si>
  <si>
    <t>컴퓨터</t>
    <phoneticPr fontId="1" type="noConversion"/>
  </si>
  <si>
    <t>냉장고</t>
    <phoneticPr fontId="1" type="noConversion"/>
  </si>
  <si>
    <t>세탁기</t>
    <phoneticPr fontId="1" type="noConversion"/>
  </si>
  <si>
    <t>총판매액</t>
    <phoneticPr fontId="3" type="noConversion"/>
  </si>
  <si>
    <t>마포</t>
    <phoneticPr fontId="1" type="noConversion"/>
  </si>
  <si>
    <t>강남</t>
    <phoneticPr fontId="1" type="noConversion"/>
  </si>
  <si>
    <t>노원</t>
    <phoneticPr fontId="1" type="noConversion"/>
  </si>
  <si>
    <t>[판매가표]</t>
    <phoneticPr fontId="1" type="noConversion"/>
  </si>
  <si>
    <t>판매가</t>
    <phoneticPr fontId="1" type="noConversion"/>
  </si>
  <si>
    <t>[표2]</t>
    <phoneticPr fontId="1" type="noConversion"/>
  </si>
  <si>
    <t>도서코드</t>
    <phoneticPr fontId="1" type="noConversion"/>
  </si>
  <si>
    <t>구분</t>
    <phoneticPr fontId="1" type="noConversion"/>
  </si>
  <si>
    <t>1월</t>
    <phoneticPr fontId="1" type="noConversion"/>
  </si>
  <si>
    <t>2월</t>
    <phoneticPr fontId="1" type="noConversion"/>
  </si>
  <si>
    <t>3월</t>
    <phoneticPr fontId="1" type="noConversion"/>
  </si>
  <si>
    <t>결과</t>
    <phoneticPr fontId="3" type="noConversion"/>
  </si>
  <si>
    <t>수험서</t>
    <phoneticPr fontId="1" type="noConversion"/>
  </si>
  <si>
    <t>경제/경영</t>
    <phoneticPr fontId="1" type="noConversion"/>
  </si>
  <si>
    <t>교양</t>
    <phoneticPr fontId="1" type="noConversion"/>
  </si>
  <si>
    <t>소설</t>
    <phoneticPr fontId="1" type="noConversion"/>
  </si>
  <si>
    <t>취미</t>
    <phoneticPr fontId="1" type="noConversion"/>
  </si>
  <si>
    <t>건강</t>
    <phoneticPr fontId="1" type="noConversion"/>
  </si>
  <si>
    <t>여행</t>
    <phoneticPr fontId="1" type="noConversion"/>
  </si>
  <si>
    <t>IT-25</t>
    <phoneticPr fontId="1" type="noConversion"/>
  </si>
  <si>
    <t>EC-60</t>
    <phoneticPr fontId="1" type="noConversion"/>
  </si>
  <si>
    <t>RF-10</t>
    <phoneticPr fontId="1" type="noConversion"/>
  </si>
  <si>
    <t>HB-49</t>
    <phoneticPr fontId="1" type="noConversion"/>
  </si>
  <si>
    <t>HT-33</t>
    <phoneticPr fontId="1" type="noConversion"/>
  </si>
  <si>
    <t>PC-52</t>
    <phoneticPr fontId="1" type="noConversion"/>
  </si>
  <si>
    <t>FT-41</t>
    <phoneticPr fontId="1" type="noConversion"/>
  </si>
  <si>
    <t>TV-77</t>
    <phoneticPr fontId="1" type="noConversion"/>
  </si>
  <si>
    <t>단위 : 만원</t>
  </si>
  <si>
    <t>1/4분기 매출결과</t>
    <phoneticPr fontId="1" type="noConversion"/>
  </si>
  <si>
    <t xml:space="preserve">[표5] </t>
    <phoneticPr fontId="1" type="noConversion"/>
  </si>
  <si>
    <t>중간고사 성적 현황</t>
    <phoneticPr fontId="1" type="noConversion"/>
  </si>
  <si>
    <t>성명</t>
    <phoneticPr fontId="1" type="noConversion"/>
  </si>
  <si>
    <t>국어</t>
    <phoneticPr fontId="1" type="noConversion"/>
  </si>
  <si>
    <t>영어</t>
    <phoneticPr fontId="1" type="noConversion"/>
  </si>
  <si>
    <t>수학</t>
    <phoneticPr fontId="1" type="noConversion"/>
  </si>
  <si>
    <t>총점</t>
    <phoneticPr fontId="1" type="noConversion"/>
  </si>
  <si>
    <t>평균</t>
    <phoneticPr fontId="1" type="noConversion"/>
  </si>
  <si>
    <t>조광희</t>
    <phoneticPr fontId="3" type="noConversion"/>
  </si>
  <si>
    <t>이부성</t>
    <phoneticPr fontId="3" type="noConversion"/>
  </si>
  <si>
    <t>고인숙</t>
    <phoneticPr fontId="3" type="noConversion"/>
  </si>
  <si>
    <t>서기운</t>
    <phoneticPr fontId="3" type="noConversion"/>
  </si>
  <si>
    <t>정은경</t>
    <phoneticPr fontId="3" type="noConversion"/>
  </si>
  <si>
    <t>김영택</t>
    <phoneticPr fontId="3" type="noConversion"/>
  </si>
  <si>
    <t>조정휴</t>
    <phoneticPr fontId="3" type="noConversion"/>
  </si>
  <si>
    <t>권지향</t>
    <phoneticPr fontId="3" type="noConversion"/>
  </si>
  <si>
    <t>이진녀</t>
    <phoneticPr fontId="3" type="noConversion"/>
  </si>
  <si>
    <t>영어/수학 우수학생평균</t>
    <phoneticPr fontId="3" type="noConversion"/>
  </si>
  <si>
    <t>최성완</t>
    <phoneticPr fontId="3" type="noConversion"/>
  </si>
  <si>
    <t>철인 3종 경기대회 결과</t>
    <phoneticPr fontId="1" type="noConversion"/>
  </si>
  <si>
    <t>성명</t>
    <phoneticPr fontId="3" type="noConversion"/>
  </si>
  <si>
    <t>수영</t>
    <phoneticPr fontId="3" type="noConversion"/>
  </si>
  <si>
    <t>사이클</t>
    <phoneticPr fontId="3" type="noConversion"/>
  </si>
  <si>
    <t>마라톤</t>
    <phoneticPr fontId="3" type="noConversion"/>
  </si>
  <si>
    <t>합계</t>
    <phoneticPr fontId="3" type="noConversion"/>
  </si>
  <si>
    <t>수상</t>
    <phoneticPr fontId="3" type="noConversion"/>
  </si>
  <si>
    <t>윤정희</t>
    <phoneticPr fontId="1" type="noConversion"/>
  </si>
  <si>
    <t>김요열</t>
    <phoneticPr fontId="1" type="noConversion"/>
  </si>
  <si>
    <t>김민성</t>
    <phoneticPr fontId="1" type="noConversion"/>
  </si>
  <si>
    <t>최시군</t>
    <phoneticPr fontId="1" type="noConversion"/>
  </si>
  <si>
    <t>고정찬</t>
    <phoneticPr fontId="1" type="noConversion"/>
  </si>
  <si>
    <t>이광용</t>
    <phoneticPr fontId="1" type="noConversion"/>
  </si>
  <si>
    <t>최새벽</t>
    <phoneticPr fontId="1" type="noConversion"/>
  </si>
  <si>
    <t>김정훈</t>
    <phoneticPr fontId="1" type="noConversion"/>
  </si>
  <si>
    <t>고정민</t>
    <phoneticPr fontId="1" type="noConversion"/>
  </si>
  <si>
    <t xml:space="preserve">[표1] </t>
    <phoneticPr fontId="3" type="noConversion"/>
  </si>
  <si>
    <t>교내 미술경시대회</t>
    <phoneticPr fontId="1" type="noConversion"/>
  </si>
  <si>
    <t>학년</t>
    <phoneticPr fontId="1" type="noConversion"/>
  </si>
  <si>
    <t>성별</t>
    <phoneticPr fontId="1" type="noConversion"/>
  </si>
  <si>
    <t>점수</t>
    <phoneticPr fontId="1" type="noConversion"/>
  </si>
  <si>
    <t>결과</t>
    <phoneticPr fontId="1" type="noConversion"/>
  </si>
  <si>
    <t>전세권</t>
    <phoneticPr fontId="1" type="noConversion"/>
  </si>
  <si>
    <t>남</t>
    <phoneticPr fontId="1" type="noConversion"/>
  </si>
  <si>
    <t>노숙자</t>
    <phoneticPr fontId="1" type="noConversion"/>
  </si>
  <si>
    <t>여</t>
    <phoneticPr fontId="1" type="noConversion"/>
  </si>
  <si>
    <t>하나로</t>
    <phoneticPr fontId="1" type="noConversion"/>
  </si>
  <si>
    <t>육해공</t>
    <phoneticPr fontId="1" type="noConversion"/>
  </si>
  <si>
    <t>정인간</t>
    <phoneticPr fontId="1" type="noConversion"/>
  </si>
  <si>
    <t>방귀남</t>
    <phoneticPr fontId="1" type="noConversion"/>
  </si>
  <si>
    <t>구주희</t>
    <phoneticPr fontId="1" type="noConversion"/>
  </si>
  <si>
    <t>이재휘</t>
    <phoneticPr fontId="1" type="noConversion"/>
  </si>
  <si>
    <t>유희지</t>
    <phoneticPr fontId="1" type="noConversion"/>
  </si>
  <si>
    <t>한산의</t>
    <phoneticPr fontId="1" type="noConversion"/>
  </si>
  <si>
    <t>[표4]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</si>
</sst>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41" formatCode="_-* #,##0_-;\-* #,##0_-;_-* &quot;-&quot;_-;_-@_-"/>
    <numFmt numFmtId="177" formatCode="0.0_ "/>
  </numFmts>
  <fonts count="13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name val="돋움"/>
      <family val="3"/>
      <charset val="129"/>
    </font>
    <font>
      <sz val="8"/>
      <name val="돋움"/>
      <family val="3"/>
      <charset val="129"/>
    </font>
    <font>
      <sz val="11"/>
      <color theme="1"/>
      <name val="맑은 고딕"/>
      <family val="3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sz val="12"/>
      <color indexed="8"/>
      <name val="굴림"/>
      <family val="3"/>
      <charset val="129"/>
    </font>
    <font>
      <sz val="11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5">
    <xf numFmtId="0" fontId="0" fillId="0" borderId="0">
      <alignment vertical="center"/>
    </xf>
    <xf numFmtId="0" fontId="2" fillId="0" borderId="0"/>
    <xf numFmtId="41" fontId="2" fillId="0" borderId="0" applyFont="0" applyFill="0" applyBorder="0" applyAlignment="0" applyProtection="0"/>
    <xf numFmtId="41" fontId="5" fillId="0" borderId="0" applyFont="0" applyFill="0" applyBorder="0" applyAlignment="0" applyProtection="0">
      <alignment vertical="center"/>
    </xf>
    <xf numFmtId="0" fontId="8" fillId="0" borderId="0"/>
  </cellStyleXfs>
  <cellXfs count="34">
    <xf numFmtId="0" fontId="0" fillId="0" borderId="0" xfId="0">
      <alignment vertical="center"/>
    </xf>
    <xf numFmtId="0" fontId="0" fillId="0" borderId="0" xfId="0" applyAlignment="1"/>
    <xf numFmtId="0" fontId="6" fillId="0" borderId="0" xfId="0" applyFont="1">
      <alignment vertical="center"/>
    </xf>
    <xf numFmtId="0" fontId="0" fillId="0" borderId="1" xfId="0" applyBorder="1">
      <alignment vertical="center"/>
    </xf>
    <xf numFmtId="0" fontId="0" fillId="0" borderId="1" xfId="0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7" fillId="0" borderId="0" xfId="0" applyFont="1">
      <alignment vertical="center"/>
    </xf>
    <xf numFmtId="41" fontId="0" fillId="0" borderId="1" xfId="3" applyFont="1" applyBorder="1">
      <alignment vertical="center"/>
    </xf>
    <xf numFmtId="0" fontId="0" fillId="0" borderId="1" xfId="0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0" fillId="0" borderId="0" xfId="0" applyBorder="1">
      <alignment vertical="center"/>
    </xf>
    <xf numFmtId="0" fontId="0" fillId="0" borderId="1" xfId="0" applyFill="1" applyBorder="1">
      <alignment vertical="center"/>
    </xf>
    <xf numFmtId="41" fontId="0" fillId="0" borderId="1" xfId="3" applyFont="1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10" fillId="0" borderId="0" xfId="4" applyFont="1" applyAlignment="1">
      <alignment horizontal="left" vertical="center"/>
    </xf>
    <xf numFmtId="0" fontId="11" fillId="0" borderId="0" xfId="4" applyFont="1" applyAlignment="1">
      <alignment horizontal="left" vertical="center"/>
    </xf>
    <xf numFmtId="0" fontId="4" fillId="0" borderId="0" xfId="0" applyFont="1" applyAlignment="1">
      <alignment vertical="center"/>
    </xf>
    <xf numFmtId="0" fontId="9" fillId="0" borderId="0" xfId="0" applyFont="1" applyAlignment="1"/>
    <xf numFmtId="0" fontId="4" fillId="0" borderId="1" xfId="0" applyFont="1" applyBorder="1" applyAlignment="1">
      <alignment horizontal="center" vertical="center"/>
    </xf>
    <xf numFmtId="0" fontId="4" fillId="0" borderId="1" xfId="0" applyNumberFormat="1" applyFont="1" applyBorder="1" applyAlignment="1">
      <alignment horizontal="center" vertical="center"/>
    </xf>
    <xf numFmtId="0" fontId="4" fillId="0" borderId="1" xfId="3" applyNumberFormat="1" applyFont="1" applyBorder="1" applyAlignment="1">
      <alignment horizontal="center" vertical="center"/>
    </xf>
    <xf numFmtId="177" fontId="4" fillId="0" borderId="1" xfId="3" applyNumberFormat="1" applyFont="1" applyBorder="1" applyAlignment="1">
      <alignment horizontal="center" vertical="center"/>
    </xf>
    <xf numFmtId="0" fontId="0" fillId="3" borderId="2" xfId="0" applyFill="1" applyBorder="1" applyAlignment="1">
      <alignment horizontal="center" vertical="center"/>
    </xf>
    <xf numFmtId="0" fontId="0" fillId="3" borderId="3" xfId="0" applyFill="1" applyBorder="1" applyAlignment="1">
      <alignment horizontal="center" vertical="center"/>
    </xf>
    <xf numFmtId="0" fontId="0" fillId="3" borderId="4" xfId="0" applyFill="1" applyBorder="1" applyAlignment="1">
      <alignment horizontal="center" vertical="center"/>
    </xf>
    <xf numFmtId="177" fontId="4" fillId="0" borderId="2" xfId="0" applyNumberFormat="1" applyFont="1" applyBorder="1" applyAlignment="1">
      <alignment horizontal="center" vertical="center"/>
    </xf>
    <xf numFmtId="177" fontId="4" fillId="0" borderId="3" xfId="0" applyNumberFormat="1" applyFont="1" applyBorder="1" applyAlignment="1">
      <alignment horizontal="center" vertical="center"/>
    </xf>
    <xf numFmtId="177" fontId="4" fillId="0" borderId="4" xfId="0" applyNumberFormat="1" applyFont="1" applyBorder="1" applyAlignment="1">
      <alignment horizontal="center" vertical="center"/>
    </xf>
    <xf numFmtId="0" fontId="12" fillId="0" borderId="0" xfId="0" applyFont="1" applyAlignment="1">
      <alignment vertical="center"/>
    </xf>
    <xf numFmtId="0" fontId="6" fillId="0" borderId="0" xfId="0" applyFont="1" applyAlignment="1"/>
    <xf numFmtId="0" fontId="0" fillId="0" borderId="1" xfId="0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" xfId="0" applyNumberFormat="1" applyBorder="1" applyAlignment="1">
      <alignment horizontal="center"/>
    </xf>
  </cellXfs>
  <cellStyles count="5">
    <cellStyle name="쉼표 [0]" xfId="3" builtinId="6"/>
    <cellStyle name="쉼표 [0] 2" xfId="2"/>
    <cellStyle name="표준" xfId="0" builtinId="0"/>
    <cellStyle name="표준 2" xfId="1"/>
    <cellStyle name="표준_Sheet1" xfId="4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O40"/>
  <sheetViews>
    <sheetView tabSelected="1" topLeftCell="A7" zoomScaleNormal="100" workbookViewId="0">
      <selection activeCell="I19" sqref="I19"/>
    </sheetView>
  </sheetViews>
  <sheetFormatPr defaultRowHeight="16.5"/>
  <cols>
    <col min="2" max="2" width="9.75" customWidth="1"/>
    <col min="3" max="5" width="8.125" customWidth="1"/>
    <col min="6" max="6" width="10.875" bestFit="1" customWidth="1"/>
    <col min="7" max="7" width="3.625" customWidth="1"/>
    <col min="9" max="11" width="9.625" customWidth="1"/>
    <col min="12" max="12" width="13" bestFit="1" customWidth="1"/>
    <col min="13" max="13" width="2.625" customWidth="1"/>
    <col min="15" max="15" width="9.5" bestFit="1" customWidth="1"/>
  </cols>
  <sheetData>
    <row r="1" spans="1:15">
      <c r="A1" s="28" t="s">
        <v>74</v>
      </c>
      <c r="B1" s="29" t="s">
        <v>58</v>
      </c>
      <c r="C1" s="1"/>
      <c r="D1" s="1"/>
      <c r="E1" s="16"/>
      <c r="F1" s="16"/>
      <c r="H1" s="6" t="s">
        <v>15</v>
      </c>
      <c r="I1" s="2" t="s">
        <v>1</v>
      </c>
    </row>
    <row r="2" spans="1:15">
      <c r="A2" s="30" t="s">
        <v>59</v>
      </c>
      <c r="B2" s="30" t="s">
        <v>60</v>
      </c>
      <c r="C2" s="30" t="s">
        <v>61</v>
      </c>
      <c r="D2" s="30" t="s">
        <v>62</v>
      </c>
      <c r="E2" s="30" t="s">
        <v>63</v>
      </c>
      <c r="F2" s="31" t="s">
        <v>64</v>
      </c>
      <c r="H2" s="4" t="s">
        <v>2</v>
      </c>
      <c r="I2" s="4" t="s">
        <v>3</v>
      </c>
      <c r="J2" s="4" t="s">
        <v>4</v>
      </c>
      <c r="K2" s="4" t="s">
        <v>5</v>
      </c>
      <c r="L2" s="5" t="s">
        <v>9</v>
      </c>
      <c r="N2" s="9" t="s">
        <v>13</v>
      </c>
      <c r="O2" s="10"/>
    </row>
    <row r="3" spans="1:15">
      <c r="A3" s="32" t="s">
        <v>65</v>
      </c>
      <c r="B3" s="32">
        <v>27</v>
      </c>
      <c r="C3" s="33">
        <v>30</v>
      </c>
      <c r="D3" s="33">
        <v>30</v>
      </c>
      <c r="E3" s="33">
        <f>SUM(B3:D3)</f>
        <v>87</v>
      </c>
      <c r="F3" s="32"/>
      <c r="H3" s="4" t="s">
        <v>6</v>
      </c>
      <c r="I3" s="4" t="s">
        <v>10</v>
      </c>
      <c r="J3" s="4">
        <v>65</v>
      </c>
      <c r="K3" s="4">
        <v>35</v>
      </c>
      <c r="L3" s="7"/>
      <c r="N3" s="4" t="s">
        <v>2</v>
      </c>
      <c r="O3" s="4" t="s">
        <v>14</v>
      </c>
    </row>
    <row r="4" spans="1:15">
      <c r="A4" s="32" t="s">
        <v>66</v>
      </c>
      <c r="B4" s="32">
        <v>29</v>
      </c>
      <c r="C4" s="33">
        <v>32</v>
      </c>
      <c r="D4" s="33">
        <v>34</v>
      </c>
      <c r="E4" s="33">
        <f t="shared" ref="E4:E11" si="0">SUM(B4:D4)</f>
        <v>95</v>
      </c>
      <c r="F4" s="32"/>
      <c r="H4" s="4" t="s">
        <v>6</v>
      </c>
      <c r="I4" s="4" t="s">
        <v>11</v>
      </c>
      <c r="J4" s="4">
        <v>80</v>
      </c>
      <c r="K4" s="4">
        <v>20</v>
      </c>
      <c r="L4" s="7"/>
      <c r="N4" s="3" t="s">
        <v>6</v>
      </c>
      <c r="O4" s="3">
        <v>800000</v>
      </c>
    </row>
    <row r="5" spans="1:15">
      <c r="A5" s="32" t="s">
        <v>67</v>
      </c>
      <c r="B5" s="32">
        <v>26</v>
      </c>
      <c r="C5" s="33">
        <v>28</v>
      </c>
      <c r="D5" s="33">
        <v>32</v>
      </c>
      <c r="E5" s="33">
        <f t="shared" si="0"/>
        <v>86</v>
      </c>
      <c r="F5" s="32"/>
      <c r="H5" s="4" t="s">
        <v>6</v>
      </c>
      <c r="I5" s="4" t="s">
        <v>12</v>
      </c>
      <c r="J5" s="4">
        <v>77</v>
      </c>
      <c r="K5" s="4">
        <v>23</v>
      </c>
      <c r="L5" s="7"/>
      <c r="N5" s="11" t="s">
        <v>7</v>
      </c>
      <c r="O5" s="3">
        <v>12000000</v>
      </c>
    </row>
    <row r="6" spans="1:15">
      <c r="A6" s="32" t="s">
        <v>68</v>
      </c>
      <c r="B6" s="32">
        <v>19</v>
      </c>
      <c r="C6" s="33">
        <v>21</v>
      </c>
      <c r="D6" s="33">
        <v>28</v>
      </c>
      <c r="E6" s="33">
        <f t="shared" si="0"/>
        <v>68</v>
      </c>
      <c r="F6" s="32"/>
      <c r="H6" s="4" t="s">
        <v>7</v>
      </c>
      <c r="I6" s="4" t="s">
        <v>10</v>
      </c>
      <c r="J6" s="4">
        <v>61</v>
      </c>
      <c r="K6" s="4">
        <v>39</v>
      </c>
      <c r="L6" s="7"/>
      <c r="N6" s="11" t="s">
        <v>8</v>
      </c>
      <c r="O6" s="3">
        <v>1000000</v>
      </c>
    </row>
    <row r="7" spans="1:15">
      <c r="A7" s="32" t="s">
        <v>69</v>
      </c>
      <c r="B7" s="32">
        <v>21</v>
      </c>
      <c r="C7" s="33">
        <v>24</v>
      </c>
      <c r="D7" s="33">
        <v>28</v>
      </c>
      <c r="E7" s="33">
        <f t="shared" si="0"/>
        <v>73</v>
      </c>
      <c r="F7" s="32"/>
      <c r="H7" s="4" t="s">
        <v>7</v>
      </c>
      <c r="I7" s="4" t="s">
        <v>11</v>
      </c>
      <c r="J7" s="4">
        <v>82</v>
      </c>
      <c r="K7" s="4">
        <v>18</v>
      </c>
      <c r="L7" s="7"/>
      <c r="N7" s="10"/>
      <c r="O7" s="10"/>
    </row>
    <row r="8" spans="1:15">
      <c r="A8" s="32" t="s">
        <v>70</v>
      </c>
      <c r="B8" s="32">
        <v>26</v>
      </c>
      <c r="C8" s="33">
        <v>31</v>
      </c>
      <c r="D8" s="33">
        <v>32</v>
      </c>
      <c r="E8" s="33">
        <f t="shared" si="0"/>
        <v>89</v>
      </c>
      <c r="F8" s="32"/>
      <c r="H8" s="4" t="s">
        <v>7</v>
      </c>
      <c r="I8" s="4" t="s">
        <v>12</v>
      </c>
      <c r="J8" s="4">
        <v>74</v>
      </c>
      <c r="K8" s="4">
        <v>26</v>
      </c>
      <c r="L8" s="7"/>
    </row>
    <row r="9" spans="1:15">
      <c r="A9" s="32" t="s">
        <v>71</v>
      </c>
      <c r="B9" s="32">
        <v>29</v>
      </c>
      <c r="C9" s="33">
        <v>28</v>
      </c>
      <c r="D9" s="33">
        <v>33</v>
      </c>
      <c r="E9" s="33">
        <f t="shared" si="0"/>
        <v>90</v>
      </c>
      <c r="F9" s="32"/>
      <c r="H9" s="4" t="s">
        <v>8</v>
      </c>
      <c r="I9" s="4" t="s">
        <v>10</v>
      </c>
      <c r="J9" s="4">
        <v>73</v>
      </c>
      <c r="K9" s="4">
        <v>27</v>
      </c>
      <c r="L9" s="7"/>
    </row>
    <row r="10" spans="1:15">
      <c r="A10" s="32" t="s">
        <v>72</v>
      </c>
      <c r="B10" s="32">
        <v>25</v>
      </c>
      <c r="C10" s="33">
        <v>34</v>
      </c>
      <c r="D10" s="33">
        <v>32</v>
      </c>
      <c r="E10" s="33">
        <f t="shared" si="0"/>
        <v>91</v>
      </c>
      <c r="F10" s="32"/>
      <c r="H10" s="4" t="s">
        <v>8</v>
      </c>
      <c r="I10" s="4" t="s">
        <v>11</v>
      </c>
      <c r="J10" s="4">
        <v>86</v>
      </c>
      <c r="K10" s="4">
        <v>14</v>
      </c>
      <c r="L10" s="7"/>
    </row>
    <row r="11" spans="1:15">
      <c r="A11" s="32" t="s">
        <v>73</v>
      </c>
      <c r="B11" s="32">
        <v>18</v>
      </c>
      <c r="C11" s="33">
        <v>24</v>
      </c>
      <c r="D11" s="33">
        <v>29</v>
      </c>
      <c r="E11" s="33">
        <f t="shared" si="0"/>
        <v>71</v>
      </c>
      <c r="F11" s="32"/>
      <c r="H11" s="4" t="s">
        <v>8</v>
      </c>
      <c r="I11" s="4" t="s">
        <v>12</v>
      </c>
      <c r="J11" s="4">
        <v>89</v>
      </c>
      <c r="K11" s="4">
        <v>11</v>
      </c>
      <c r="L11" s="7"/>
    </row>
    <row r="13" spans="1:15">
      <c r="H13" s="6" t="s">
        <v>92</v>
      </c>
      <c r="I13" s="2" t="s">
        <v>75</v>
      </c>
    </row>
    <row r="14" spans="1:15" ht="16.5" customHeight="1">
      <c r="H14" s="4" t="s">
        <v>76</v>
      </c>
      <c r="I14" s="4" t="s">
        <v>41</v>
      </c>
      <c r="J14" s="4" t="s">
        <v>77</v>
      </c>
      <c r="K14" s="4" t="s">
        <v>78</v>
      </c>
      <c r="L14" s="13" t="s">
        <v>79</v>
      </c>
    </row>
    <row r="15" spans="1:15">
      <c r="H15" s="4">
        <v>1</v>
      </c>
      <c r="I15" s="4" t="s">
        <v>80</v>
      </c>
      <c r="J15" s="4" t="s">
        <v>81</v>
      </c>
      <c r="K15" s="4">
        <v>78</v>
      </c>
      <c r="L15" s="4"/>
    </row>
    <row r="16" spans="1:15">
      <c r="H16" s="4">
        <v>1</v>
      </c>
      <c r="I16" s="4" t="s">
        <v>82</v>
      </c>
      <c r="J16" s="4" t="s">
        <v>83</v>
      </c>
      <c r="K16" s="4">
        <v>86</v>
      </c>
      <c r="L16" s="4"/>
    </row>
    <row r="17" spans="1:12">
      <c r="A17" s="6" t="s">
        <v>0</v>
      </c>
      <c r="B17" s="2" t="s">
        <v>38</v>
      </c>
      <c r="F17" t="s">
        <v>37</v>
      </c>
      <c r="H17" s="4">
        <v>1</v>
      </c>
      <c r="I17" s="4" t="s">
        <v>84</v>
      </c>
      <c r="J17" s="4" t="s">
        <v>83</v>
      </c>
      <c r="K17" s="4">
        <v>90</v>
      </c>
      <c r="L17" s="4"/>
    </row>
    <row r="18" spans="1:12">
      <c r="A18" s="8" t="s">
        <v>16</v>
      </c>
      <c r="B18" s="8" t="s">
        <v>17</v>
      </c>
      <c r="C18" s="8" t="s">
        <v>18</v>
      </c>
      <c r="D18" s="8" t="s">
        <v>19</v>
      </c>
      <c r="E18" s="8" t="s">
        <v>20</v>
      </c>
      <c r="F18" s="5" t="s">
        <v>21</v>
      </c>
      <c r="H18" s="4">
        <v>1</v>
      </c>
      <c r="I18" s="4" t="s">
        <v>85</v>
      </c>
      <c r="J18" s="4" t="s">
        <v>81</v>
      </c>
      <c r="K18" s="4">
        <v>91</v>
      </c>
      <c r="L18" s="4"/>
    </row>
    <row r="19" spans="1:12">
      <c r="A19" s="8" t="s">
        <v>29</v>
      </c>
      <c r="B19" s="8" t="s">
        <v>22</v>
      </c>
      <c r="C19" s="12">
        <v>6500</v>
      </c>
      <c r="D19" s="12">
        <v>7560</v>
      </c>
      <c r="E19" s="12">
        <v>8020</v>
      </c>
      <c r="F19" s="8"/>
      <c r="H19" s="4">
        <v>2</v>
      </c>
      <c r="I19" s="4" t="s">
        <v>86</v>
      </c>
      <c r="J19" s="4" t="s">
        <v>81</v>
      </c>
      <c r="K19" s="4">
        <v>92</v>
      </c>
      <c r="L19" s="4"/>
    </row>
    <row r="20" spans="1:12">
      <c r="A20" s="8" t="s">
        <v>30</v>
      </c>
      <c r="B20" s="8" t="s">
        <v>23</v>
      </c>
      <c r="C20" s="12">
        <v>8620</v>
      </c>
      <c r="D20" s="12">
        <v>7925</v>
      </c>
      <c r="E20" s="12">
        <v>7620</v>
      </c>
      <c r="F20" s="8"/>
      <c r="H20" s="4">
        <v>2</v>
      </c>
      <c r="I20" s="4" t="s">
        <v>87</v>
      </c>
      <c r="J20" s="4" t="s">
        <v>81</v>
      </c>
      <c r="K20" s="4">
        <v>82</v>
      </c>
      <c r="L20" s="4"/>
    </row>
    <row r="21" spans="1:12">
      <c r="A21" s="8" t="s">
        <v>31</v>
      </c>
      <c r="B21" s="8" t="s">
        <v>24</v>
      </c>
      <c r="C21" s="12">
        <v>8802</v>
      </c>
      <c r="D21" s="12">
        <v>8357</v>
      </c>
      <c r="E21" s="12">
        <v>8687</v>
      </c>
      <c r="F21" s="8"/>
      <c r="H21" s="4">
        <v>2</v>
      </c>
      <c r="I21" s="4" t="s">
        <v>88</v>
      </c>
      <c r="J21" s="4" t="s">
        <v>83</v>
      </c>
      <c r="K21" s="4">
        <v>94</v>
      </c>
      <c r="L21" s="4"/>
    </row>
    <row r="22" spans="1:12">
      <c r="A22" s="8" t="s">
        <v>35</v>
      </c>
      <c r="B22" s="8" t="s">
        <v>25</v>
      </c>
      <c r="C22" s="12">
        <v>7896</v>
      </c>
      <c r="D22" s="12">
        <v>7900</v>
      </c>
      <c r="E22" s="12">
        <v>8240</v>
      </c>
      <c r="F22" s="8"/>
      <c r="H22" s="4">
        <v>3</v>
      </c>
      <c r="I22" s="4" t="s">
        <v>89</v>
      </c>
      <c r="J22" s="4" t="s">
        <v>81</v>
      </c>
      <c r="K22" s="4">
        <v>89</v>
      </c>
      <c r="L22" s="4"/>
    </row>
    <row r="23" spans="1:12">
      <c r="A23" s="8" t="s">
        <v>32</v>
      </c>
      <c r="B23" s="8" t="s">
        <v>26</v>
      </c>
      <c r="C23" s="12">
        <v>8438</v>
      </c>
      <c r="D23" s="12">
        <v>8320</v>
      </c>
      <c r="E23" s="12">
        <v>8345</v>
      </c>
      <c r="F23" s="8"/>
      <c r="H23" s="4">
        <v>3</v>
      </c>
      <c r="I23" s="4" t="s">
        <v>90</v>
      </c>
      <c r="J23" s="4" t="s">
        <v>83</v>
      </c>
      <c r="K23" s="4">
        <v>93</v>
      </c>
      <c r="L23" s="4"/>
    </row>
    <row r="24" spans="1:12">
      <c r="A24" s="8" t="s">
        <v>33</v>
      </c>
      <c r="B24" s="8" t="s">
        <v>27</v>
      </c>
      <c r="C24" s="12">
        <v>6874</v>
      </c>
      <c r="D24" s="12">
        <v>7000</v>
      </c>
      <c r="E24" s="12">
        <v>7320</v>
      </c>
      <c r="F24" s="8"/>
      <c r="H24" s="8">
        <v>3</v>
      </c>
      <c r="I24" s="8" t="s">
        <v>91</v>
      </c>
      <c r="J24" s="4" t="s">
        <v>83</v>
      </c>
      <c r="K24" s="4">
        <v>87</v>
      </c>
      <c r="L24" s="4"/>
    </row>
    <row r="25" spans="1:12">
      <c r="A25" s="8" t="s">
        <v>34</v>
      </c>
      <c r="B25" s="8" t="s">
        <v>6</v>
      </c>
      <c r="C25" s="12">
        <v>8576</v>
      </c>
      <c r="D25" s="12">
        <v>7982</v>
      </c>
      <c r="E25" s="12">
        <v>8800</v>
      </c>
      <c r="F25" s="8"/>
    </row>
    <row r="26" spans="1:12">
      <c r="A26" s="8" t="s">
        <v>36</v>
      </c>
      <c r="B26" s="8" t="s">
        <v>28</v>
      </c>
      <c r="C26" s="12">
        <v>9318</v>
      </c>
      <c r="D26" s="12">
        <v>8972</v>
      </c>
      <c r="E26" s="12">
        <v>9200</v>
      </c>
      <c r="F26" s="8"/>
    </row>
    <row r="28" spans="1:12">
      <c r="A28" s="6"/>
      <c r="B28" s="2"/>
    </row>
    <row r="29" spans="1:12">
      <c r="A29" s="14" t="s">
        <v>39</v>
      </c>
      <c r="B29" s="15" t="s">
        <v>40</v>
      </c>
      <c r="G29" s="16"/>
      <c r="H29" s="16"/>
      <c r="I29" s="16"/>
      <c r="J29" s="17"/>
    </row>
    <row r="30" spans="1:12">
      <c r="A30" s="18" t="s">
        <v>41</v>
      </c>
      <c r="B30" s="18" t="s">
        <v>42</v>
      </c>
      <c r="C30" s="18" t="s">
        <v>43</v>
      </c>
      <c r="D30" s="18" t="s">
        <v>44</v>
      </c>
      <c r="E30" s="18" t="s">
        <v>45</v>
      </c>
      <c r="F30" s="18" t="s">
        <v>46</v>
      </c>
      <c r="G30" s="16"/>
      <c r="H30" s="16"/>
      <c r="I30" s="16"/>
      <c r="J30" s="17"/>
    </row>
    <row r="31" spans="1:12">
      <c r="A31" s="18" t="s">
        <v>47</v>
      </c>
      <c r="B31" s="19">
        <v>88</v>
      </c>
      <c r="C31" s="19">
        <v>92</v>
      </c>
      <c r="D31" s="20">
        <v>91</v>
      </c>
      <c r="E31" s="18">
        <f>SUM(B31:D31)</f>
        <v>271</v>
      </c>
      <c r="F31" s="21">
        <f>AVERAGE(B31:D31)</f>
        <v>90.333333333333329</v>
      </c>
      <c r="G31" s="16"/>
      <c r="H31" s="16"/>
      <c r="I31" s="16"/>
      <c r="J31" s="17"/>
    </row>
    <row r="32" spans="1:12">
      <c r="A32" s="18" t="s">
        <v>48</v>
      </c>
      <c r="B32" s="19">
        <v>79</v>
      </c>
      <c r="C32" s="19">
        <v>87</v>
      </c>
      <c r="D32" s="20">
        <v>90</v>
      </c>
      <c r="E32" s="18">
        <f t="shared" ref="E32:E40" si="1">SUM(B32:D32)</f>
        <v>256</v>
      </c>
      <c r="F32" s="21">
        <f t="shared" ref="F32:F40" si="2">AVERAGE(B32:D32)</f>
        <v>85.333333333333329</v>
      </c>
      <c r="G32" s="16"/>
      <c r="H32" s="16"/>
      <c r="I32" s="16"/>
      <c r="J32" s="17"/>
    </row>
    <row r="33" spans="1:10">
      <c r="A33" s="18" t="s">
        <v>49</v>
      </c>
      <c r="B33" s="19">
        <v>92</v>
      </c>
      <c r="C33" s="19">
        <v>82</v>
      </c>
      <c r="D33" s="20">
        <v>91</v>
      </c>
      <c r="E33" s="18">
        <f t="shared" si="1"/>
        <v>265</v>
      </c>
      <c r="F33" s="21">
        <f t="shared" si="2"/>
        <v>88.333333333333329</v>
      </c>
      <c r="G33" s="16"/>
      <c r="H33" s="16"/>
      <c r="I33" s="16"/>
      <c r="J33" s="17"/>
    </row>
    <row r="34" spans="1:10">
      <c r="A34" s="18" t="s">
        <v>50</v>
      </c>
      <c r="B34" s="19">
        <v>91</v>
      </c>
      <c r="C34" s="19">
        <v>94</v>
      </c>
      <c r="D34" s="20">
        <v>98</v>
      </c>
      <c r="E34" s="18">
        <f t="shared" si="1"/>
        <v>283</v>
      </c>
      <c r="F34" s="21">
        <f t="shared" si="2"/>
        <v>94.333333333333329</v>
      </c>
      <c r="G34" s="16"/>
      <c r="H34" s="16"/>
      <c r="I34" s="16"/>
      <c r="J34" s="16"/>
    </row>
    <row r="35" spans="1:10">
      <c r="A35" s="18" t="s">
        <v>51</v>
      </c>
      <c r="B35" s="19">
        <v>97</v>
      </c>
      <c r="C35" s="19">
        <v>96</v>
      </c>
      <c r="D35" s="20">
        <v>92</v>
      </c>
      <c r="E35" s="18">
        <f t="shared" si="1"/>
        <v>285</v>
      </c>
      <c r="F35" s="21">
        <f t="shared" si="2"/>
        <v>95</v>
      </c>
      <c r="G35" s="16"/>
      <c r="H35" s="16"/>
      <c r="I35" s="16"/>
      <c r="J35" s="16"/>
    </row>
    <row r="36" spans="1:10">
      <c r="A36" s="18" t="s">
        <v>52</v>
      </c>
      <c r="B36" s="19">
        <v>89</v>
      </c>
      <c r="C36" s="19">
        <v>90</v>
      </c>
      <c r="D36" s="20">
        <v>81</v>
      </c>
      <c r="E36" s="18">
        <f t="shared" si="1"/>
        <v>260</v>
      </c>
      <c r="F36" s="21">
        <f t="shared" si="2"/>
        <v>86.666666666666671</v>
      </c>
      <c r="G36" s="16"/>
      <c r="H36" s="16"/>
      <c r="I36" s="16"/>
      <c r="J36" s="16"/>
    </row>
    <row r="37" spans="1:10">
      <c r="A37" s="18" t="s">
        <v>53</v>
      </c>
      <c r="B37" s="19">
        <v>68</v>
      </c>
      <c r="C37" s="19">
        <v>76</v>
      </c>
      <c r="D37" s="20">
        <v>82</v>
      </c>
      <c r="E37" s="18">
        <f t="shared" si="1"/>
        <v>226</v>
      </c>
      <c r="F37" s="21">
        <f t="shared" si="2"/>
        <v>75.333333333333329</v>
      </c>
      <c r="G37" s="16"/>
      <c r="H37" s="16"/>
      <c r="I37" s="16"/>
      <c r="J37" s="16"/>
    </row>
    <row r="38" spans="1:10">
      <c r="A38" s="18" t="s">
        <v>54</v>
      </c>
      <c r="B38" s="19">
        <v>82</v>
      </c>
      <c r="C38" s="19">
        <v>79</v>
      </c>
      <c r="D38" s="20">
        <v>91</v>
      </c>
      <c r="E38" s="18">
        <f t="shared" si="1"/>
        <v>252</v>
      </c>
      <c r="F38" s="21">
        <f t="shared" si="2"/>
        <v>84</v>
      </c>
      <c r="G38" s="16"/>
      <c r="H38" s="16"/>
      <c r="I38" s="16"/>
      <c r="J38" s="16"/>
    </row>
    <row r="39" spans="1:10">
      <c r="A39" s="18" t="s">
        <v>55</v>
      </c>
      <c r="B39" s="19">
        <v>83</v>
      </c>
      <c r="C39" s="19">
        <v>69</v>
      </c>
      <c r="D39" s="20">
        <v>77</v>
      </c>
      <c r="E39" s="18">
        <f t="shared" si="1"/>
        <v>229</v>
      </c>
      <c r="F39" s="21">
        <f t="shared" si="2"/>
        <v>76.333333333333329</v>
      </c>
      <c r="G39" s="16"/>
      <c r="H39" s="22" t="s">
        <v>56</v>
      </c>
      <c r="I39" s="23"/>
      <c r="J39" s="24"/>
    </row>
    <row r="40" spans="1:10">
      <c r="A40" s="18" t="s">
        <v>57</v>
      </c>
      <c r="B40" s="19">
        <v>76</v>
      </c>
      <c r="C40" s="19">
        <v>77</v>
      </c>
      <c r="D40" s="20">
        <v>64</v>
      </c>
      <c r="E40" s="18">
        <f t="shared" si="1"/>
        <v>217</v>
      </c>
      <c r="F40" s="21">
        <f t="shared" si="2"/>
        <v>72.333333333333329</v>
      </c>
      <c r="G40" s="16"/>
      <c r="H40" s="25"/>
      <c r="I40" s="26"/>
      <c r="J40" s="27"/>
    </row>
  </sheetData>
  <mergeCells count="2">
    <mergeCell ref="H39:J39"/>
    <mergeCell ref="H40:J40"/>
  </mergeCells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중첩함수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쫑</dc:creator>
  <cp:lastModifiedBy>김혜경</cp:lastModifiedBy>
  <dcterms:created xsi:type="dcterms:W3CDTF">2013-03-06T07:37:24Z</dcterms:created>
  <dcterms:modified xsi:type="dcterms:W3CDTF">2014-03-08T07:40:14Z</dcterms:modified>
</cp:coreProperties>
</file>