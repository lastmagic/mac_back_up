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345" windowWidth="14835" windowHeight="7995"/>
  </bookViews>
  <sheets>
    <sheet name="주식2" sheetId="1" r:id="rId1"/>
  </sheets>
  <functionGroups/>
  <calcPr calcId="125725" iterate="1" iterateCount="1"/>
</workbook>
</file>

<file path=xl/calcChain.xml><?xml version="1.0" encoding="utf-8"?>
<calcChain xmlns="http://schemas.openxmlformats.org/spreadsheetml/2006/main">
  <c r="I7" i="1"/>
  <c r="E6"/>
  <c r="I9"/>
  <c r="E9"/>
  <c r="I8"/>
  <c r="J8" s="1"/>
  <c r="E8"/>
  <c r="J7"/>
  <c r="E7"/>
  <c r="I6"/>
  <c r="J6" s="1"/>
  <c r="I5"/>
  <c r="J5" s="1"/>
  <c r="E5"/>
  <c r="I4"/>
  <c r="J4" s="1"/>
  <c r="E4"/>
  <c r="I3"/>
  <c r="J3" s="1"/>
  <c r="E3"/>
  <c r="J9" l="1"/>
  <c r="K3"/>
  <c r="K4"/>
  <c r="K5"/>
  <c r="K6"/>
  <c r="K7"/>
  <c r="K8"/>
  <c r="K9"/>
</calcChain>
</file>

<file path=xl/sharedStrings.xml><?xml version="1.0" encoding="utf-8"?>
<sst xmlns="http://schemas.openxmlformats.org/spreadsheetml/2006/main" count="17" uniqueCount="17">
  <si>
    <t>종목명</t>
  </si>
  <si>
    <t>매수가격</t>
  </si>
  <si>
    <t>보유수량</t>
  </si>
  <si>
    <t>매수금액</t>
  </si>
  <si>
    <t>매수
수수료</t>
  </si>
  <si>
    <t>매수단가</t>
  </si>
  <si>
    <t>현재가</t>
  </si>
  <si>
    <t>현재금액</t>
  </si>
  <si>
    <t>평가손익</t>
  </si>
  <si>
    <t>수익률</t>
  </si>
  <si>
    <t>금잔디화학</t>
    <phoneticPr fontId="2" type="noConversion"/>
  </si>
  <si>
    <t>송진나무</t>
    <phoneticPr fontId="2" type="noConversion"/>
  </si>
  <si>
    <t>프리여행사</t>
    <phoneticPr fontId="2" type="noConversion"/>
  </si>
  <si>
    <t>알파은행</t>
    <phoneticPr fontId="2" type="noConversion"/>
  </si>
  <si>
    <t>튼튼건설</t>
    <phoneticPr fontId="2" type="noConversion"/>
  </si>
  <si>
    <t>브라운전자</t>
    <phoneticPr fontId="2" type="noConversion"/>
  </si>
  <si>
    <t>초록건설</t>
    <phoneticPr fontId="2" type="noConversion"/>
  </si>
</sst>
</file>

<file path=xl/styles.xml><?xml version="1.0" encoding="utf-8"?>
<styleSheet xmlns="http://schemas.openxmlformats.org/spreadsheetml/2006/main">
  <numFmts count="2">
    <numFmt numFmtId="41" formatCode="_-* #,##0_-;\-* #,##0_-;_-* &quot;-&quot;_-;_-@_-"/>
    <numFmt numFmtId="176" formatCode="#,##0_ "/>
  </numFmts>
  <fonts count="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1" applyNumberFormat="1" applyFont="1" applyBorder="1">
      <alignment vertical="center"/>
    </xf>
    <xf numFmtId="9" fontId="0" fillId="0" borderId="1" xfId="2" applyFont="1" applyBorder="1">
      <alignment vertical="center"/>
    </xf>
    <xf numFmtId="0" fontId="3" fillId="2" borderId="1" xfId="0" applyFont="1" applyFill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K9"/>
  <sheetViews>
    <sheetView tabSelected="1" workbookViewId="0">
      <selection activeCell="G13" sqref="G13"/>
    </sheetView>
  </sheetViews>
  <sheetFormatPr defaultRowHeight="16.5"/>
  <cols>
    <col min="1" max="1" width="3.5" customWidth="1"/>
    <col min="2" max="2" width="11" bestFit="1" customWidth="1"/>
    <col min="3" max="11" width="10.375" customWidth="1"/>
  </cols>
  <sheetData>
    <row r="2" spans="2:11"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5</v>
      </c>
      <c r="H2" s="4" t="s">
        <v>6</v>
      </c>
      <c r="I2" s="4" t="s">
        <v>7</v>
      </c>
      <c r="J2" s="4" t="s">
        <v>8</v>
      </c>
      <c r="K2" s="4" t="s">
        <v>9</v>
      </c>
    </row>
    <row r="3" spans="2:11">
      <c r="B3" s="1" t="s">
        <v>10</v>
      </c>
      <c r="C3" s="2">
        <v>18700</v>
      </c>
      <c r="D3" s="1">
        <v>21</v>
      </c>
      <c r="E3" s="2">
        <f t="shared" ref="E3:E9" si="0">C3*D3</f>
        <v>392700</v>
      </c>
      <c r="F3" s="2"/>
      <c r="G3" s="2">
        <v>21387</v>
      </c>
      <c r="H3" s="2">
        <v>25500</v>
      </c>
      <c r="I3" s="2">
        <f t="shared" ref="I3" si="1">D3*H3</f>
        <v>535500</v>
      </c>
      <c r="J3" s="2">
        <f t="shared" ref="J3:J9" si="2">I3-E3</f>
        <v>142800</v>
      </c>
      <c r="K3" s="3">
        <f t="shared" ref="K3:K9" si="3">I3/(E3+F3)-1</f>
        <v>0.36363636363636354</v>
      </c>
    </row>
    <row r="4" spans="2:11">
      <c r="B4" s="1" t="s">
        <v>11</v>
      </c>
      <c r="C4" s="2">
        <v>8900</v>
      </c>
      <c r="D4" s="1">
        <v>16</v>
      </c>
      <c r="E4" s="2">
        <f t="shared" si="0"/>
        <v>142400</v>
      </c>
      <c r="F4" s="2"/>
      <c r="G4" s="2">
        <v>16616</v>
      </c>
      <c r="H4" s="2">
        <v>8150</v>
      </c>
      <c r="I4" s="2">
        <f>D4*H4</f>
        <v>130400</v>
      </c>
      <c r="J4" s="2">
        <f t="shared" si="2"/>
        <v>-12000</v>
      </c>
      <c r="K4" s="3">
        <f t="shared" si="3"/>
        <v>-8.4269662921348298E-2</v>
      </c>
    </row>
    <row r="5" spans="2:11">
      <c r="B5" s="1" t="s">
        <v>12</v>
      </c>
      <c r="C5" s="2">
        <v>10100</v>
      </c>
      <c r="D5" s="1">
        <v>6</v>
      </c>
      <c r="E5" s="2">
        <f t="shared" si="0"/>
        <v>60600</v>
      </c>
      <c r="F5" s="2"/>
      <c r="G5" s="2">
        <v>12647</v>
      </c>
      <c r="H5" s="2">
        <v>8200</v>
      </c>
      <c r="I5" s="2">
        <f t="shared" ref="I5:I9" si="4">D5*H5</f>
        <v>49200</v>
      </c>
      <c r="J5" s="2">
        <f t="shared" si="2"/>
        <v>-11400</v>
      </c>
      <c r="K5" s="3">
        <f>I5/(E5+F5)-1</f>
        <v>-0.18811881188118806</v>
      </c>
    </row>
    <row r="6" spans="2:11">
      <c r="B6" s="1" t="s">
        <v>13</v>
      </c>
      <c r="C6" s="2">
        <v>23200</v>
      </c>
      <c r="D6" s="1">
        <v>15</v>
      </c>
      <c r="E6" s="2">
        <f>C6*D6</f>
        <v>348000</v>
      </c>
      <c r="F6" s="2"/>
      <c r="G6" s="2">
        <v>53250</v>
      </c>
      <c r="H6" s="2">
        <v>25500</v>
      </c>
      <c r="I6" s="2">
        <f t="shared" si="4"/>
        <v>382500</v>
      </c>
      <c r="J6" s="2">
        <f t="shared" si="2"/>
        <v>34500</v>
      </c>
      <c r="K6" s="3">
        <f t="shared" si="3"/>
        <v>9.9137931034482651E-2</v>
      </c>
    </row>
    <row r="7" spans="2:11">
      <c r="B7" s="1" t="s">
        <v>14</v>
      </c>
      <c r="C7" s="2">
        <v>85200</v>
      </c>
      <c r="D7" s="1">
        <v>20</v>
      </c>
      <c r="E7" s="2">
        <f t="shared" si="0"/>
        <v>1704000</v>
      </c>
      <c r="F7" s="2"/>
      <c r="G7" s="2">
        <v>95875</v>
      </c>
      <c r="H7" s="2">
        <v>89500</v>
      </c>
      <c r="I7" s="2">
        <f>D7*H7</f>
        <v>1790000</v>
      </c>
      <c r="J7" s="2">
        <f t="shared" si="2"/>
        <v>86000</v>
      </c>
      <c r="K7" s="3">
        <f t="shared" si="3"/>
        <v>5.0469483568075013E-2</v>
      </c>
    </row>
    <row r="8" spans="2:11">
      <c r="B8" s="1" t="s">
        <v>15</v>
      </c>
      <c r="C8" s="2">
        <v>6800</v>
      </c>
      <c r="D8" s="1">
        <v>16</v>
      </c>
      <c r="E8" s="2">
        <f t="shared" si="0"/>
        <v>108800</v>
      </c>
      <c r="F8" s="2"/>
      <c r="G8" s="2">
        <v>10080</v>
      </c>
      <c r="H8" s="2">
        <v>12500</v>
      </c>
      <c r="I8" s="2">
        <f t="shared" si="4"/>
        <v>200000</v>
      </c>
      <c r="J8" s="2">
        <f t="shared" si="2"/>
        <v>91200</v>
      </c>
      <c r="K8" s="3">
        <f t="shared" si="3"/>
        <v>0.83823529411764697</v>
      </c>
    </row>
    <row r="9" spans="2:11">
      <c r="B9" s="1" t="s">
        <v>16</v>
      </c>
      <c r="C9" s="2">
        <v>11200</v>
      </c>
      <c r="D9" s="1">
        <v>28</v>
      </c>
      <c r="E9" s="2">
        <f t="shared" si="0"/>
        <v>313600</v>
      </c>
      <c r="F9" s="2"/>
      <c r="G9" s="2">
        <v>13875</v>
      </c>
      <c r="H9" s="2">
        <v>14000</v>
      </c>
      <c r="I9" s="2">
        <f t="shared" si="4"/>
        <v>392000</v>
      </c>
      <c r="J9" s="2">
        <f t="shared" si="2"/>
        <v>78400</v>
      </c>
      <c r="K9" s="3">
        <f t="shared" si="3"/>
        <v>0.25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주식2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이승희</dc:creator>
  <cp:lastModifiedBy>이승희</cp:lastModifiedBy>
  <dcterms:created xsi:type="dcterms:W3CDTF">2011-02-07T10:46:23Z</dcterms:created>
  <dcterms:modified xsi:type="dcterms:W3CDTF">2011-02-07T10:51:17Z</dcterms:modified>
</cp:coreProperties>
</file>